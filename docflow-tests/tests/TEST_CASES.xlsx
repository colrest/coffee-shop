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</sheets>
  <definedNames>
    <definedName function="false" hidden="true" localSheetId="1" name="_xlnm._FilterDatabase" vbProcedure="false">'Test Cases'!$A$1:$J$67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<sst xmlns="http://schemas.openxmlformats.org/spreadsheetml/2006/main" count="613" uniqueCount="345">
  <si>
    <t xml:space="preserve">Document Approval System — Test Cases</t>
  </si>
  <si>
    <t xml:space="preserve">Manual / QA test-case matrix.  See the 'Test Cases' sheet for the full set.</t>
  </si>
  <si>
    <t xml:space="preserve">By module</t>
  </si>
  <si>
    <t xml:space="preserve">By priority</t>
  </si>
  <si>
    <t xml:space="preserve">Module</t>
  </si>
  <si>
    <t xml:space="preserve">Count</t>
  </si>
  <si>
    <t xml:space="preserve">Priority</t>
  </si>
  <si>
    <t xml:space="preserve">Authentication &amp; Session</t>
  </si>
  <si>
    <t xml:space="preserve">P1 — critical</t>
  </si>
  <si>
    <t xml:space="preserve">Role-Based Access Control</t>
  </si>
  <si>
    <t xml:space="preserve">P2 — important</t>
  </si>
  <si>
    <t xml:space="preserve">Document Submission</t>
  </si>
  <si>
    <t xml:space="preserve">P3 — minor</t>
  </si>
  <si>
    <t xml:space="preserve">Approval Workflow</t>
  </si>
  <si>
    <t xml:space="preserve">Comments</t>
  </si>
  <si>
    <t xml:space="preserve">User Administration</t>
  </si>
  <si>
    <t xml:space="preserve">By execution status</t>
  </si>
  <si>
    <t xml:space="preserve">Workflow Administration</t>
  </si>
  <si>
    <t xml:space="preserve">Status</t>
  </si>
  <si>
    <t xml:space="preserve">End-to-End Flows</t>
  </si>
  <si>
    <t xml:space="preserve">Not Run</t>
  </si>
  <si>
    <t xml:space="preserve">Non-Functional / Edge</t>
  </si>
  <si>
    <t xml:space="preserve">Pass</t>
  </si>
  <si>
    <t xml:space="preserve">Total</t>
  </si>
  <si>
    <t xml:space="preserve">Fail</t>
  </si>
  <si>
    <t xml:space="preserve">Blocked</t>
  </si>
  <si>
    <t xml:space="preserve">Priority: P1 critical · P2 important · P3 minor.  Status values: Not Run / Pass / Fail / Blocked.</t>
  </si>
  <si>
    <t xml:space="preserve">ID</t>
  </si>
  <si>
    <t xml:space="preserve">Title</t>
  </si>
  <si>
    <t xml:space="preserve">Precondition</t>
  </si>
  <si>
    <t xml:space="preserve">Steps</t>
  </si>
  <si>
    <t xml:space="preserve">Test Data</t>
  </si>
  <si>
    <t xml:space="preserve">Expected Result</t>
  </si>
  <si>
    <t xml:space="preserve">Notes</t>
  </si>
  <si>
    <t xml:space="preserve">AUTH-01</t>
  </si>
  <si>
    <t xml:space="preserve">Register new user</t>
  </si>
  <si>
    <t xml:space="preserve">No account with this email</t>
  </si>
  <si>
    <t xml:space="preserve">Submit register form</t>
  </si>
  <si>
    <t xml:space="preserve">name: Test User, email: new@test.com, password: Test@1234</t>
  </si>
  <si>
    <t xml:space="preserve">Account created (200/201); user defaults to Submitter role</t>
  </si>
  <si>
    <t xml:space="preserve">P1</t>
  </si>
  <si>
    <t xml:space="preserve">AUTH-02</t>
  </si>
  <si>
    <t xml:space="preserve">Register with existing email</t>
  </si>
  <si>
    <t xml:space="preserve">Email already registered</t>
  </si>
  <si>
    <t xml:space="preserve">Submit register with same email</t>
  </si>
  <si>
    <t xml:space="preserve">email: new@test.com</t>
  </si>
  <si>
    <t xml:space="preserve">Rejected with a duplicate-email error (400/409)</t>
  </si>
  <si>
    <t xml:space="preserve">AUTH-03</t>
  </si>
  <si>
    <t xml:space="preserve">Register missing fields</t>
  </si>
  <si>
    <t xml:space="preserve">—</t>
  </si>
  <si>
    <t xml:space="preserve">Submit register without password</t>
  </si>
  <si>
    <t xml:space="preserve">email only</t>
  </si>
  <si>
    <t xml:space="preserve">Validation error (400/422)</t>
  </si>
  <si>
    <t xml:space="preserve">P2</t>
  </si>
  <si>
    <t xml:space="preserve">AUTH-04</t>
  </si>
  <si>
    <t xml:space="preserve">Login valid credentials</t>
  </si>
  <si>
    <t xml:space="preserve">Account exists</t>
  </si>
  <si>
    <t xml:space="preserve">Submit login</t>
  </si>
  <si>
    <t xml:space="preserve">new@test.com / Test@1234</t>
  </si>
  <si>
    <t xml:space="preserve">200; returns access token + role</t>
  </si>
  <si>
    <t xml:space="preserve">AUTH-05</t>
  </si>
  <si>
    <t xml:space="preserve">Login wrong password</t>
  </si>
  <si>
    <t xml:space="preserve">Submit login with wrong password</t>
  </si>
  <si>
    <t xml:space="preserve">new@test.com / wrong</t>
  </si>
  <si>
    <t xml:space="preserve">Rejected (400/401); no token</t>
  </si>
  <si>
    <t xml:space="preserve">AUTH-06</t>
  </si>
  <si>
    <t xml:space="preserve">Login non-existent user</t>
  </si>
  <si>
    <t xml:space="preserve">ghost@test.com / Test@1234</t>
  </si>
  <si>
    <t xml:space="preserve">Rejected (400/401/404)</t>
  </si>
  <si>
    <t xml:space="preserve">AUTH-07</t>
  </si>
  <si>
    <t xml:space="preserve">Get current user</t>
  </si>
  <si>
    <t xml:space="preserve">Logged in</t>
  </si>
  <si>
    <t xml:space="preserve">GET /api/auth/me with token</t>
  </si>
  <si>
    <t xml:space="preserve">valid Bearer token</t>
  </si>
  <si>
    <t xml:space="preserve">200; returns id, name, email, role</t>
  </si>
  <si>
    <t xml:space="preserve">AUTH-08</t>
  </si>
  <si>
    <t xml:space="preserve">Access protected route without token</t>
  </si>
  <si>
    <t xml:space="preserve">GET /api/auth/me with no header</t>
  </si>
  <si>
    <t xml:space="preserve">401 Unauthorized</t>
  </si>
  <si>
    <t xml:space="preserve">AUTH-09</t>
  </si>
  <si>
    <t xml:space="preserve">Access with invalid/expired token</t>
  </si>
  <si>
    <t xml:space="preserve">GET /api/auth/me with bad token</t>
  </si>
  <si>
    <t xml:space="preserve">Bearer not-a-token</t>
  </si>
  <si>
    <t xml:space="preserve">AUTH-10</t>
  </si>
  <si>
    <t xml:space="preserve">Logout</t>
  </si>
  <si>
    <t xml:space="preserve">POST /api/auth/logout</t>
  </si>
  <si>
    <t xml:space="preserve">valid token</t>
  </si>
  <si>
    <t xml:space="preserve">200/204; token/session invalidated</t>
  </si>
  <si>
    <t xml:space="preserve">AUTH-11</t>
  </si>
  <si>
    <t xml:space="preserve">Role-based redirect after login</t>
  </si>
  <si>
    <t xml:space="preserve">Accounts of each role exist</t>
  </si>
  <si>
    <t xml:space="preserve">Log in as each role</t>
  </si>
  <si>
    <t xml:space="preserve">submitter / approver / admin</t>
  </si>
  <si>
    <t xml:space="preserve">User lands on the dashboard matching their role</t>
  </si>
  <si>
    <t xml:space="preserve">RBAC-01</t>
  </si>
  <si>
    <t xml:space="preserve">Submitter blocked from admin routes</t>
  </si>
  <si>
    <t xml:space="preserve">Logged in as Submitter</t>
  </si>
  <si>
    <t xml:space="preserve">GET /api/users</t>
  </si>
  <si>
    <t xml:space="preserve">submitter token</t>
  </si>
  <si>
    <t xml:space="preserve">403 Forbidden</t>
  </si>
  <si>
    <t xml:space="preserve">RBAC-02</t>
  </si>
  <si>
    <t xml:space="preserve">Submitter blocked from approver routes</t>
  </si>
  <si>
    <t xml:space="preserve">GET /api/approver/assigned</t>
  </si>
  <si>
    <t xml:space="preserve">RBAC-03</t>
  </si>
  <si>
    <t xml:space="preserve">Approver blocked from admin routes</t>
  </si>
  <si>
    <t xml:space="preserve">Logged in as Approver</t>
  </si>
  <si>
    <t xml:space="preserve">GET /api/workflows</t>
  </si>
  <si>
    <t xml:space="preserve">approver token</t>
  </si>
  <si>
    <t xml:space="preserve">RBAC-04</t>
  </si>
  <si>
    <t xml:space="preserve">Admin allowed on admin routes</t>
  </si>
  <si>
    <t xml:space="preserve">Logged in as Admin</t>
  </si>
  <si>
    <t xml:space="preserve">admin token</t>
  </si>
  <si>
    <t xml:space="preserve">200 OK</t>
  </si>
  <si>
    <t xml:space="preserve">RBAC-05</t>
  </si>
  <si>
    <t xml:space="preserve">Approver cannot change user roles</t>
  </si>
  <si>
    <t xml:space="preserve">PUT /api/users/:id/role</t>
  </si>
  <si>
    <t xml:space="preserve">DOC-01</t>
  </si>
  <si>
    <t xml:space="preserve">Upload PDF document</t>
  </si>
  <si>
    <t xml:space="preserve">POST /api/documents (multipart)</t>
  </si>
  <si>
    <t xml:space="preserve">title: Project Proposal, category: Business, file: sample.pdf</t>
  </si>
  <si>
    <t xml:space="preserve">201; status "Pending Approval", version v1</t>
  </si>
  <si>
    <t xml:space="preserve">DOC-02</t>
  </si>
  <si>
    <t xml:space="preserve">Upload DOCX / image</t>
  </si>
  <si>
    <t xml:space="preserve">Upload with a .docx / .png file</t>
  </si>
  <si>
    <t xml:space="preserve">file: sample.png</t>
  </si>
  <si>
    <t xml:space="preserve">Accepted (allowed type)</t>
  </si>
  <si>
    <t xml:space="preserve">DOC-03</t>
  </si>
  <si>
    <t xml:space="preserve">Upload with no file</t>
  </si>
  <si>
    <t xml:space="preserve">Submit without a file</t>
  </si>
  <si>
    <t xml:space="preserve">title only</t>
  </si>
  <si>
    <t xml:space="preserve">DOC-04</t>
  </si>
  <si>
    <t xml:space="preserve">Upload disallowed file type</t>
  </si>
  <si>
    <t xml:space="preserve">Upload e.g. a .exe</t>
  </si>
  <si>
    <t xml:space="preserve">file: app.exe</t>
  </si>
  <si>
    <t xml:space="preserve">Rejected with a file-type error</t>
  </si>
  <si>
    <t xml:space="preserve">DOC-05</t>
  </si>
  <si>
    <t xml:space="preserve">Upload without auth</t>
  </si>
  <si>
    <t xml:space="preserve">POST /api/documents with no token</t>
  </si>
  <si>
    <t xml:space="preserve">DOC-06</t>
  </si>
  <si>
    <t xml:space="preserve">List own documents</t>
  </si>
  <si>
    <t xml:space="preserve">Has uploaded docs</t>
  </si>
  <si>
    <t xml:space="preserve">GET /api/documents</t>
  </si>
  <si>
    <t xml:space="preserve">200; only the submitter's own documents</t>
  </si>
  <si>
    <t xml:space="preserve">DOC-07</t>
  </si>
  <si>
    <t xml:space="preserve">Filter by status</t>
  </si>
  <si>
    <t xml:space="preserve">Docs in mixed statuses</t>
  </si>
  <si>
    <t xml:space="preserve">GET /api/documents?status=Approved</t>
  </si>
  <si>
    <t xml:space="preserve">status=Approved</t>
  </si>
  <si>
    <t xml:space="preserve">200; only Approved documents</t>
  </si>
  <si>
    <t xml:space="preserve">DOC-08</t>
  </si>
  <si>
    <t xml:space="preserve">Filter by category</t>
  </si>
  <si>
    <t xml:space="preserve">Docs in mixed categories</t>
  </si>
  <si>
    <t xml:space="preserve">GET /api/documents?category=Finance</t>
  </si>
  <si>
    <t xml:space="preserve">category=Finance</t>
  </si>
  <si>
    <t xml:space="preserve">200; only Finance documents</t>
  </si>
  <si>
    <t xml:space="preserve">DOC-09</t>
  </si>
  <si>
    <t xml:space="preserve">Search documents</t>
  </si>
  <si>
    <t xml:space="preserve">Docs exist</t>
  </si>
  <si>
    <t xml:space="preserve">GET /api/documents?search=Proposal</t>
  </si>
  <si>
    <t xml:space="preserve">search=Proposal</t>
  </si>
  <si>
    <t xml:space="preserve">200; matching documents only</t>
  </si>
  <si>
    <t xml:space="preserve">P3</t>
  </si>
  <si>
    <t xml:space="preserve">DOC-10</t>
  </si>
  <si>
    <t xml:space="preserve">View document details</t>
  </si>
  <si>
    <t xml:space="preserve">Document exists</t>
  </si>
  <si>
    <t xml:space="preserve">GET /api/documents/:id</t>
  </si>
  <si>
    <t xml:space="preserve">valid id</t>
  </si>
  <si>
    <t xml:space="preserve">200; title, status, version, currentStage, fileUrl</t>
  </si>
  <si>
    <t xml:space="preserve">DOC-11</t>
  </si>
  <si>
    <t xml:space="preserve">View non-existent document</t>
  </si>
  <si>
    <t xml:space="preserve">GET /api/documents/99999999</t>
  </si>
  <si>
    <t xml:space="preserve">invalid id</t>
  </si>
  <si>
    <t xml:space="preserve">404 Not Found</t>
  </si>
  <si>
    <t xml:space="preserve">DOC-12</t>
  </si>
  <si>
    <t xml:space="preserve">Download document file</t>
  </si>
  <si>
    <t xml:space="preserve">GET /api/documents/:id/download</t>
  </si>
  <si>
    <t xml:space="preserve">200 file stream (or 302 redirect)</t>
  </si>
  <si>
    <t xml:space="preserve">DOC-13</t>
  </si>
  <si>
    <t xml:space="preserve">Submitter document stats</t>
  </si>
  <si>
    <t xml:space="preserve">Submitter has docs</t>
  </si>
  <si>
    <t xml:space="preserve">GET /api/documents/stats</t>
  </si>
  <si>
    <t xml:space="preserve">200; counts scoped to submitter (total/approved/pending/revision/rejected)</t>
  </si>
  <si>
    <t xml:space="preserve">DOC-14</t>
  </si>
  <si>
    <t xml:space="preserve">Resubmit after revision</t>
  </si>
  <si>
    <t xml:space="preserve">Doc in "Revision Required"</t>
  </si>
  <si>
    <t xml:space="preserve">PUT /api/documents/:id/resubmit (optional new file)</t>
  </si>
  <si>
    <t xml:space="preserve">200; status back to Pending; version increments</t>
  </si>
  <si>
    <t xml:space="preserve">DOC-15</t>
  </si>
  <si>
    <t xml:space="preserve">Resubmit when not in revision</t>
  </si>
  <si>
    <t xml:space="preserve">Doc is Pending/Approved</t>
  </si>
  <si>
    <t xml:space="preserve">PUT /api/documents/:id/resubmit</t>
  </si>
  <si>
    <t xml:space="preserve">Rejected (invalid state)</t>
  </si>
  <si>
    <t xml:space="preserve">APP-01</t>
  </si>
  <si>
    <t xml:space="preserve">List assigned documents</t>
  </si>
  <si>
    <t xml:space="preserve">Approver has assignments</t>
  </si>
  <si>
    <t xml:space="preserve">200; only documents assigned to this approver</t>
  </si>
  <si>
    <t xml:space="preserve">APP-02</t>
  </si>
  <si>
    <t xml:space="preserve">Filter assigned by status</t>
  </si>
  <si>
    <t xml:space="preserve">Assignments exist</t>
  </si>
  <si>
    <t xml:space="preserve">GET /api/approver/assigned?status=Pending</t>
  </si>
  <si>
    <t xml:space="preserve">status filter</t>
  </si>
  <si>
    <t xml:space="preserve">200; filtered list</t>
  </si>
  <si>
    <t xml:space="preserve">APP-03</t>
  </si>
  <si>
    <t xml:space="preserve">Approve advances stage</t>
  </si>
  <si>
    <t xml:space="preserve">Doc pending at Initial</t>
  </si>
  <si>
    <t xml:space="preserve">POST /api/documents/:id/approve</t>
  </si>
  <si>
    <t xml:space="preserve">comment: "Approved for next stage."</t>
  </si>
  <si>
    <t xml:space="preserve">200; currentStage -&gt; Compliance Level; message returned</t>
  </si>
  <si>
    <t xml:space="preserve">APP-04</t>
  </si>
  <si>
    <t xml:space="preserve">Approve at final stage</t>
  </si>
  <si>
    <t xml:space="preserve">Doc pending at Final</t>
  </si>
  <si>
    <t xml:space="preserve">final-stage doc</t>
  </si>
  <si>
    <t xml:space="preserve">200; status -&gt; Approved</t>
  </si>
  <si>
    <t xml:space="preserve">APP-05</t>
  </si>
  <si>
    <t xml:space="preserve">Reject document</t>
  </si>
  <si>
    <t xml:space="preserve">Doc pending</t>
  </si>
  <si>
    <t xml:space="preserve">POST /api/documents/:id/reject</t>
  </si>
  <si>
    <t xml:space="preserve">comment: "Budget incorrect."</t>
  </si>
  <si>
    <t xml:space="preserve">200; status -&gt; Rejected</t>
  </si>
  <si>
    <t xml:space="preserve">APP-06</t>
  </si>
  <si>
    <t xml:space="preserve">Request revision</t>
  </si>
  <si>
    <t xml:space="preserve">POST /api/documents/:id/revision</t>
  </si>
  <si>
    <t xml:space="preserve">comment: "Update budget and resubmit."</t>
  </si>
  <si>
    <t xml:space="preserve">200; status -&gt; Revision Required</t>
  </si>
  <si>
    <t xml:space="preserve">APP-07</t>
  </si>
  <si>
    <t xml:space="preserve">Approve not-assigned doc</t>
  </si>
  <si>
    <t xml:space="preserve">Doc assigned to another approver</t>
  </si>
  <si>
    <t xml:space="preserve">other approver's doc</t>
  </si>
  <si>
    <t xml:space="preserve">Rejected (403 / not assigned)</t>
  </si>
  <si>
    <t xml:space="preserve">APP-08</t>
  </si>
  <si>
    <t xml:space="preserve">Submitter cannot approve</t>
  </si>
  <si>
    <t xml:space="preserve">APP-09</t>
  </si>
  <si>
    <t xml:space="preserve">Approver stats</t>
  </si>
  <si>
    <t xml:space="preserve">GET /api/approver/stats</t>
  </si>
  <si>
    <t xml:space="preserve">200; totalAssigned, pending, approved, revision, rejected</t>
  </si>
  <si>
    <t xml:space="preserve">APP-10</t>
  </si>
  <si>
    <t xml:space="preserve">History records each action</t>
  </si>
  <si>
    <t xml:space="preserve">A doc has been acted on</t>
  </si>
  <si>
    <t xml:space="preserve">GET /api/documents/:id/history</t>
  </si>
  <si>
    <t xml:space="preserve">200; ordered timeline (Submitted, Pending, action by user, timestamps)</t>
  </si>
  <si>
    <t xml:space="preserve">CMT-01</t>
  </si>
  <si>
    <t xml:space="preserve">Add comment</t>
  </si>
  <si>
    <t xml:space="preserve">POST /api/documents/:id/comments</t>
  </si>
  <si>
    <t xml:space="preserve">text: "Please review."</t>
  </si>
  <si>
    <t xml:space="preserve">200/201; comment stored</t>
  </si>
  <si>
    <t xml:space="preserve">CMT-02</t>
  </si>
  <si>
    <t xml:space="preserve">List comments</t>
  </si>
  <si>
    <t xml:space="preserve">Comments exist</t>
  </si>
  <si>
    <t xml:space="preserve">GET /api/documents/:id/comments</t>
  </si>
  <si>
    <t xml:space="preserve">200; array of {name, text, time}</t>
  </si>
  <si>
    <t xml:space="preserve">CMT-03</t>
  </si>
  <si>
    <t xml:space="preserve">Add empty comment</t>
  </si>
  <si>
    <t xml:space="preserve">POST with empty text</t>
  </si>
  <si>
    <t xml:space="preserve">text: ""</t>
  </si>
  <si>
    <t xml:space="preserve">CMT-04</t>
  </si>
  <si>
    <t xml:space="preserve">Comment without auth</t>
  </si>
  <si>
    <t xml:space="preserve">POST comment with no token</t>
  </si>
  <si>
    <t xml:space="preserve">USR-01</t>
  </si>
  <si>
    <t xml:space="preserve">List all users</t>
  </si>
  <si>
    <t xml:space="preserve">200; array of users with roles</t>
  </si>
  <si>
    <t xml:space="preserve">USR-02</t>
  </si>
  <si>
    <t xml:space="preserve">Filter users by role</t>
  </si>
  <si>
    <t xml:space="preserve">Users of mixed roles</t>
  </si>
  <si>
    <t xml:space="preserve">GET /api/users?role=Approver</t>
  </si>
  <si>
    <t xml:space="preserve">role filter</t>
  </si>
  <si>
    <t xml:space="preserve">200; only Approvers</t>
  </si>
  <si>
    <t xml:space="preserve">USR-03</t>
  </si>
  <si>
    <t xml:space="preserve">Search users</t>
  </si>
  <si>
    <t xml:space="preserve">Users exist</t>
  </si>
  <si>
    <t xml:space="preserve">GET /api/users?search=sarah</t>
  </si>
  <si>
    <t xml:space="preserve">search filter</t>
  </si>
  <si>
    <t xml:space="preserve">200; matching users</t>
  </si>
  <si>
    <t xml:space="preserve">USR-04</t>
  </si>
  <si>
    <t xml:space="preserve">Change user role</t>
  </si>
  <si>
    <t xml:space="preserve">Target user exists</t>
  </si>
  <si>
    <t xml:space="preserve">{ role: "Approver" }</t>
  </si>
  <si>
    <t xml:space="preserve">200; user role updated</t>
  </si>
  <si>
    <t xml:space="preserve">USR-05</t>
  </si>
  <si>
    <t xml:space="preserve">Change to invalid role</t>
  </si>
  <si>
    <t xml:space="preserve">{ role: "SuperUser" }</t>
  </si>
  <si>
    <t xml:space="preserve">USR-06</t>
  </si>
  <si>
    <t xml:space="preserve">User statistics</t>
  </si>
  <si>
    <t xml:space="preserve">GET /api/users/stats</t>
  </si>
  <si>
    <t xml:space="preserve">200; totalUsers, totalSubmitters, totalApprovers, totalAdmins</t>
  </si>
  <si>
    <t xml:space="preserve">WF-01</t>
  </si>
  <si>
    <t xml:space="preserve">List workflows</t>
  </si>
  <si>
    <t xml:space="preserve">Workflows seeded</t>
  </si>
  <si>
    <t xml:space="preserve">200; array with name, initial, compliance, final</t>
  </si>
  <si>
    <t xml:space="preserve">WF-02</t>
  </si>
  <si>
    <t xml:space="preserve">Update workflow approvers</t>
  </si>
  <si>
    <t xml:space="preserve">Workflow exists</t>
  </si>
  <si>
    <t xml:space="preserve">PUT /api/workflows/:id</t>
  </si>
  <si>
    <t xml:space="preserve">{ initial, compliance, final }</t>
  </si>
  <si>
    <t xml:space="preserve">200; assignments updated</t>
  </si>
  <si>
    <t xml:space="preserve">WF-03</t>
  </si>
  <si>
    <t xml:space="preserve">List approver users</t>
  </si>
  <si>
    <t xml:space="preserve">Approvers exist</t>
  </si>
  <si>
    <t xml:space="preserve">GET /api/approvers</t>
  </si>
  <si>
    <t xml:space="preserve">200; list of {id, name} for assignment dropdowns</t>
  </si>
  <si>
    <t xml:space="preserve">WF-04</t>
  </si>
  <si>
    <t xml:space="preserve">Non-admin blocked</t>
  </si>
  <si>
    <t xml:space="preserve">Logged in as non-admin</t>
  </si>
  <si>
    <t xml:space="preserve">WF-05</t>
  </si>
  <si>
    <t xml:space="preserve">Approver workload</t>
  </si>
  <si>
    <t xml:space="preserve">GET /api/approvers/workload</t>
  </si>
  <si>
    <t xml:space="preserve">200; per-approver assigned/pending/approved counts</t>
  </si>
  <si>
    <t xml:space="preserve">E2E-01</t>
  </si>
  <si>
    <t xml:space="preserve">Full approval path</t>
  </si>
  <si>
    <t xml:space="preserve">Submitter uploads -&gt; Initial approver approves -&gt; Compliance approver approves -&gt; Final approver approves</t>
  </si>
  <si>
    <t xml:space="preserve">Document ends in Approved; history shows all three approvals in order</t>
  </si>
  <si>
    <t xml:space="preserve">E2E-02</t>
  </si>
  <si>
    <t xml:space="preserve">Rejection path</t>
  </si>
  <si>
    <t xml:space="preserve">Submitter uploads -&gt; Initial approver rejects</t>
  </si>
  <si>
    <t xml:space="preserve">Document is Rejected; submitter sees it and the comment</t>
  </si>
  <si>
    <t xml:space="preserve">E2E-03</t>
  </si>
  <si>
    <t xml:space="preserve">Revision loop</t>
  </si>
  <si>
    <t xml:space="preserve">Submitter uploads -&gt; approver requests revision -&gt; submitter resubmits -&gt; approver approves</t>
  </si>
  <si>
    <t xml:space="preserve">Status moves Pending -&gt; Revision Required -&gt; Pending -&gt; advanced; version increments</t>
  </si>
  <si>
    <t xml:space="preserve">E2E-04</t>
  </si>
  <si>
    <t xml:space="preserve">Reassign via workflow change</t>
  </si>
  <si>
    <t xml:space="preserve">Admin changes the Initial approver for a workflow -&gt; submitter uploads under that workflow</t>
  </si>
  <si>
    <t xml:space="preserve">New document is assigned to the newly configured approver</t>
  </si>
  <si>
    <t xml:space="preserve">E2E-05</t>
  </si>
  <si>
    <t xml:space="preserve">Scoping integrity</t>
  </si>
  <si>
    <t xml:space="preserve">Submitter A and Submitter B each upload</t>
  </si>
  <si>
    <t xml:space="preserve">Each submitter sees only their own documents; admin sees all</t>
  </si>
  <si>
    <t xml:space="preserve">NF-01</t>
  </si>
  <si>
    <t xml:space="preserve">Large file upload</t>
  </si>
  <si>
    <t xml:space="preserve">Upload a file near the size limit</t>
  </si>
  <si>
    <t xml:space="preserve">Accepted if within limit; clear error if over</t>
  </si>
  <si>
    <t xml:space="preserve">NF-02</t>
  </si>
  <si>
    <t xml:space="preserve">SQL/NoSQL injection in fields</t>
  </si>
  <si>
    <t xml:space="preserve">Submit crafted strings in title/comment</t>
  </si>
  <si>
    <t xml:space="preserve">Input is sanitized/escaped; no error leak</t>
  </si>
  <si>
    <t xml:space="preserve">NF-03</t>
  </si>
  <si>
    <t xml:space="preserve">Unauthorized direct ID access</t>
  </si>
  <si>
    <t xml:space="preserve">Submitter requests another user's document id</t>
  </si>
  <si>
    <t xml:space="preserve">403/404; no data leak</t>
  </si>
  <si>
    <t xml:space="preserve">NF-04</t>
  </si>
  <si>
    <t xml:space="preserve">Concurrent approval</t>
  </si>
  <si>
    <t xml:space="preserve">Two approvers act on the same doc simultaneously</t>
  </si>
  <si>
    <t xml:space="preserve">Consistent final state; no duplicate stage advance</t>
  </si>
  <si>
    <t xml:space="preserve">NF-05</t>
  </si>
  <si>
    <t xml:space="preserve">Token tamper</t>
  </si>
  <si>
    <t xml:space="preserve">Modify one character of a valid token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</si>
</sst>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B00020"/>
      <name val="Arial"/>
      <family val="0"/>
      <charset val="1"/>
    </font>
    <font>
      <b val="true"/>
      <sz val="10"/>
      <color rgb="FF8A6D00"/>
      <name val="Arial"/>
      <family val="0"/>
      <charset val="1"/>
    </font>
    <font>
      <b val="true"/>
      <sz val="10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C"/>
        <bgColor rgb="FFECECEC"/>
      </patternFill>
    </fill>
    <fill>
      <patternFill patternType="solid">
        <fgColor rgb="FFFCE4E4"/>
        <bgColor rgb="FFECECEC"/>
      </patternFill>
    </fill>
    <fill>
      <patternFill patternType="solid">
        <fgColor rgb="FFFFF3CD"/>
        <bgColor rgb="FFFCE4E4"/>
      </patternFill>
    </fill>
    <fill>
      <patternFill patternType="solid">
        <fgColor rgb="FFECECEC"/>
        <bgColor rgb="FFF2F6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B000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A6D00"/>
      <rgbColor rgb="FF800080"/>
      <rgbColor rgb="FF008080"/>
      <rgbColor rgb="FFC0C0C0"/>
      <rgbColor rgb="FF888888"/>
      <rgbColor rgb="FF9999FF"/>
      <rgbColor rgb="FF993366"/>
      <rgbColor rgb="FFFFF3CD"/>
      <rgbColor rgb="FFF2F6FC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  <c r="D5" s="4" t="s">
        <v>6</v>
      </c>
      <c r="E5" s="4" t="s">
        <v>5</v>
      </c>
    </row>
    <row r="6" customFormat="false" ht="15" hidden="false" customHeight="false" outlineLevel="0" collapsed="false">
      <c r="A6" s="5" t="s">
        <v>7</v>
      </c>
      <c r="B6" s="6" t="n">
        <f aca="false">COUNTIF('Test Cases'!$B$2:$B$67,A6)</f>
        <v>11</v>
      </c>
      <c r="D6" s="5" t="s">
        <v>8</v>
      </c>
      <c r="E6" s="6" t="n">
        <f aca="false">COUNTIF('Test Cases'!$H$2:$H$67,"P1")</f>
        <v>36</v>
      </c>
    </row>
    <row r="7" customFormat="false" ht="15" hidden="false" customHeight="false" outlineLevel="0" collapsed="false">
      <c r="A7" s="7" t="s">
        <v>9</v>
      </c>
      <c r="B7" s="8" t="n">
        <f aca="false">COUNTIF('Test Cases'!$B$2:$B$67,A7)</f>
        <v>5</v>
      </c>
      <c r="D7" s="7" t="s">
        <v>10</v>
      </c>
      <c r="E7" s="8" t="n">
        <f aca="false">COUNTIF('Test Cases'!$H$2:$H$67,"P2")</f>
        <v>23</v>
      </c>
    </row>
    <row r="8" customFormat="false" ht="15" hidden="false" customHeight="false" outlineLevel="0" collapsed="false">
      <c r="A8" s="5" t="s">
        <v>11</v>
      </c>
      <c r="B8" s="6" t="n">
        <f aca="false">COUNTIF('Test Cases'!$B$2:$B$67,A8)</f>
        <v>15</v>
      </c>
      <c r="D8" s="5" t="s">
        <v>12</v>
      </c>
      <c r="E8" s="6" t="n">
        <f aca="false">COUNTIF('Test Cases'!$H$2:$H$67,"P3")</f>
        <v>7</v>
      </c>
    </row>
    <row r="9" customFormat="false" ht="15" hidden="false" customHeight="false" outlineLevel="0" collapsed="false">
      <c r="A9" s="7" t="s">
        <v>13</v>
      </c>
      <c r="B9" s="8" t="n">
        <f aca="false">COUNTIF('Test Cases'!$B$2:$B$67,A9)</f>
        <v>10</v>
      </c>
    </row>
    <row r="10" customFormat="false" ht="15" hidden="false" customHeight="false" outlineLevel="0" collapsed="false">
      <c r="A10" s="5" t="s">
        <v>14</v>
      </c>
      <c r="B10" s="6" t="n">
        <f aca="false">COUNTIF('Test Cases'!$B$2:$B$67,A10)</f>
        <v>4</v>
      </c>
    </row>
    <row r="11" customFormat="false" ht="15" hidden="false" customHeight="false" outlineLevel="0" collapsed="false">
      <c r="A11" s="7" t="s">
        <v>15</v>
      </c>
      <c r="B11" s="8" t="n">
        <f aca="false">COUNTIF('Test Cases'!$B$2:$B$67,A11)</f>
        <v>6</v>
      </c>
      <c r="D11" s="3" t="s">
        <v>16</v>
      </c>
    </row>
    <row r="12" customFormat="false" ht="15" hidden="false" customHeight="false" outlineLevel="0" collapsed="false">
      <c r="A12" s="5" t="s">
        <v>17</v>
      </c>
      <c r="B12" s="6" t="n">
        <f aca="false">COUNTIF('Test Cases'!$B$2:$B$67,A12)</f>
        <v>5</v>
      </c>
      <c r="D12" s="4" t="s">
        <v>18</v>
      </c>
      <c r="E12" s="4" t="s">
        <v>5</v>
      </c>
    </row>
    <row r="13" customFormat="false" ht="15" hidden="false" customHeight="false" outlineLevel="0" collapsed="false">
      <c r="A13" s="7" t="s">
        <v>19</v>
      </c>
      <c r="B13" s="8" t="n">
        <f aca="false">COUNTIF('Test Cases'!$B$2:$B$67,A13)</f>
        <v>5</v>
      </c>
      <c r="D13" s="5" t="s">
        <v>20</v>
      </c>
      <c r="E13" s="6" t="n">
        <f aca="false">COUNTIF('Test Cases'!$I$2:$I$67,"Not Run")</f>
        <v>66</v>
      </c>
    </row>
    <row r="14" customFormat="false" ht="15" hidden="false" customHeight="false" outlineLevel="0" collapsed="false">
      <c r="A14" s="5" t="s">
        <v>21</v>
      </c>
      <c r="B14" s="6" t="n">
        <f aca="false">COUNTIF('Test Cases'!$B$2:$B$67,A14)</f>
        <v>5</v>
      </c>
      <c r="D14" s="7" t="s">
        <v>22</v>
      </c>
      <c r="E14" s="8" t="n">
        <f aca="false">COUNTIF('Test Cases'!$I$2:$I$67,"Pass")</f>
        <v>0</v>
      </c>
    </row>
    <row r="15" customFormat="false" ht="15" hidden="false" customHeight="false" outlineLevel="0" collapsed="false">
      <c r="A15" s="9" t="s">
        <v>23</v>
      </c>
      <c r="B15" s="10" t="n">
        <f aca="false">COUNTA('Test Cases'!$A$2:$A$67)</f>
        <v>66</v>
      </c>
      <c r="D15" s="5" t="s">
        <v>24</v>
      </c>
      <c r="E15" s="6" t="n">
        <f aca="false">COUNTIF('Test Cases'!$I$2:$I$67,"Fail")</f>
        <v>0</v>
      </c>
    </row>
    <row r="16" customFormat="false" ht="15" hidden="false" customHeight="false" outlineLevel="0" collapsed="false">
      <c r="D16" s="7" t="s">
        <v>25</v>
      </c>
      <c r="E16" s="8" t="n">
        <f aca="false">COUNTIF('Test Cases'!$I$2:$I$67,"Blocked")</f>
        <v>0</v>
      </c>
    </row>
    <row r="17" customFormat="false" ht="15" hidden="false" customHeight="false" outlineLevel="0" collapsed="false">
      <c r="A17" s="1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4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2" t="s">
        <v>27</v>
      </c>
      <c r="B1" s="12" t="s">
        <v>4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6</v>
      </c>
      <c r="I1" s="12" t="s">
        <v>18</v>
      </c>
      <c r="J1" s="12" t="s">
        <v>33</v>
      </c>
    </row>
    <row r="2" customFormat="false" ht="35.05" hidden="false" customHeight="false" outlineLevel="0" collapsed="false">
      <c r="A2" s="13" t="s">
        <v>34</v>
      </c>
      <c r="B2" s="14" t="s">
        <v>7</v>
      </c>
      <c r="C2" s="14" t="s">
        <v>35</v>
      </c>
      <c r="D2" s="14" t="s">
        <v>36</v>
      </c>
      <c r="E2" s="14" t="s">
        <v>37</v>
      </c>
      <c r="F2" s="14" t="s">
        <v>38</v>
      </c>
      <c r="G2" s="14" t="s">
        <v>39</v>
      </c>
      <c r="H2" s="15" t="s">
        <v>40</v>
      </c>
      <c r="I2" s="16" t="s">
        <v>20</v>
      </c>
      <c r="J2" s="14"/>
    </row>
    <row r="3" customFormat="false" ht="15" hidden="false" customHeight="false" outlineLevel="0" collapsed="false">
      <c r="A3" s="17" t="s">
        <v>41</v>
      </c>
      <c r="B3" s="18" t="s">
        <v>7</v>
      </c>
      <c r="C3" s="18" t="s">
        <v>42</v>
      </c>
      <c r="D3" s="18" t="s">
        <v>43</v>
      </c>
      <c r="E3" s="18" t="s">
        <v>44</v>
      </c>
      <c r="F3" s="18" t="s">
        <v>45</v>
      </c>
      <c r="G3" s="18" t="s">
        <v>46</v>
      </c>
      <c r="H3" s="15" t="s">
        <v>40</v>
      </c>
      <c r="I3" s="19" t="s">
        <v>20</v>
      </c>
      <c r="J3" s="18"/>
    </row>
    <row r="4" customFormat="false" ht="15" hidden="false" customHeight="false" outlineLevel="0" collapsed="false">
      <c r="A4" s="13" t="s">
        <v>47</v>
      </c>
      <c r="B4" s="14" t="s">
        <v>7</v>
      </c>
      <c r="C4" s="14" t="s">
        <v>48</v>
      </c>
      <c r="D4" s="14" t="s">
        <v>49</v>
      </c>
      <c r="E4" s="14" t="s">
        <v>50</v>
      </c>
      <c r="F4" s="14" t="s">
        <v>51</v>
      </c>
      <c r="G4" s="14" t="s">
        <v>52</v>
      </c>
      <c r="H4" s="20" t="s">
        <v>53</v>
      </c>
      <c r="I4" s="16" t="s">
        <v>20</v>
      </c>
      <c r="J4" s="14"/>
    </row>
    <row r="5" customFormat="false" ht="15" hidden="false" customHeight="false" outlineLevel="0" collapsed="false">
      <c r="A5" s="17" t="s">
        <v>54</v>
      </c>
      <c r="B5" s="18" t="s">
        <v>7</v>
      </c>
      <c r="C5" s="18" t="s">
        <v>55</v>
      </c>
      <c r="D5" s="18" t="s">
        <v>56</v>
      </c>
      <c r="E5" s="18" t="s">
        <v>57</v>
      </c>
      <c r="F5" s="18" t="s">
        <v>58</v>
      </c>
      <c r="G5" s="18" t="s">
        <v>59</v>
      </c>
      <c r="H5" s="15" t="s">
        <v>40</v>
      </c>
      <c r="I5" s="19" t="s">
        <v>20</v>
      </c>
      <c r="J5" s="18"/>
    </row>
    <row r="6" customFormat="false" ht="15" hidden="false" customHeight="false" outlineLevel="0" collapsed="false">
      <c r="A6" s="13" t="s">
        <v>60</v>
      </c>
      <c r="B6" s="14" t="s">
        <v>7</v>
      </c>
      <c r="C6" s="14" t="s">
        <v>61</v>
      </c>
      <c r="D6" s="14" t="s">
        <v>56</v>
      </c>
      <c r="E6" s="14" t="s">
        <v>62</v>
      </c>
      <c r="F6" s="14" t="s">
        <v>63</v>
      </c>
      <c r="G6" s="14" t="s">
        <v>64</v>
      </c>
      <c r="H6" s="15" t="s">
        <v>40</v>
      </c>
      <c r="I6" s="16" t="s">
        <v>20</v>
      </c>
      <c r="J6" s="14"/>
    </row>
    <row r="7" customFormat="false" ht="15" hidden="false" customHeight="false" outlineLevel="0" collapsed="false">
      <c r="A7" s="17" t="s">
        <v>65</v>
      </c>
      <c r="B7" s="18" t="s">
        <v>7</v>
      </c>
      <c r="C7" s="18" t="s">
        <v>66</v>
      </c>
      <c r="D7" s="18" t="s">
        <v>49</v>
      </c>
      <c r="E7" s="18" t="s">
        <v>57</v>
      </c>
      <c r="F7" s="18" t="s">
        <v>67</v>
      </c>
      <c r="G7" s="18" t="s">
        <v>68</v>
      </c>
      <c r="H7" s="20" t="s">
        <v>53</v>
      </c>
      <c r="I7" s="19" t="s">
        <v>20</v>
      </c>
      <c r="J7" s="18"/>
    </row>
    <row r="8" customFormat="false" ht="15" hidden="false" customHeight="false" outlineLevel="0" collapsed="false">
      <c r="A8" s="13" t="s">
        <v>69</v>
      </c>
      <c r="B8" s="14" t="s">
        <v>7</v>
      </c>
      <c r="C8" s="14" t="s">
        <v>70</v>
      </c>
      <c r="D8" s="14" t="s">
        <v>71</v>
      </c>
      <c r="E8" s="14" t="s">
        <v>72</v>
      </c>
      <c r="F8" s="14" t="s">
        <v>73</v>
      </c>
      <c r="G8" s="14" t="s">
        <v>74</v>
      </c>
      <c r="H8" s="15" t="s">
        <v>40</v>
      </c>
      <c r="I8" s="16" t="s">
        <v>20</v>
      </c>
      <c r="J8" s="14"/>
    </row>
    <row r="9" customFormat="false" ht="23.85" hidden="false" customHeight="false" outlineLevel="0" collapsed="false">
      <c r="A9" s="17" t="s">
        <v>75</v>
      </c>
      <c r="B9" s="18" t="s">
        <v>7</v>
      </c>
      <c r="C9" s="18" t="s">
        <v>76</v>
      </c>
      <c r="D9" s="18" t="s">
        <v>49</v>
      </c>
      <c r="E9" s="18" t="s">
        <v>77</v>
      </c>
      <c r="F9" s="18" t="s">
        <v>49</v>
      </c>
      <c r="G9" s="18" t="s">
        <v>78</v>
      </c>
      <c r="H9" s="15" t="s">
        <v>40</v>
      </c>
      <c r="I9" s="19" t="s">
        <v>20</v>
      </c>
      <c r="J9" s="18"/>
    </row>
    <row r="10" customFormat="false" ht="15" hidden="false" customHeight="false" outlineLevel="0" collapsed="false">
      <c r="A10" s="13" t="s">
        <v>79</v>
      </c>
      <c r="B10" s="14" t="s">
        <v>7</v>
      </c>
      <c r="C10" s="14" t="s">
        <v>80</v>
      </c>
      <c r="D10" s="14" t="s">
        <v>49</v>
      </c>
      <c r="E10" s="14" t="s">
        <v>81</v>
      </c>
      <c r="F10" s="14" t="s">
        <v>82</v>
      </c>
      <c r="G10" s="14" t="s">
        <v>78</v>
      </c>
      <c r="H10" s="15" t="s">
        <v>40</v>
      </c>
      <c r="I10" s="16" t="s">
        <v>20</v>
      </c>
      <c r="J10" s="14"/>
    </row>
    <row r="11" customFormat="false" ht="15" hidden="false" customHeight="false" outlineLevel="0" collapsed="false">
      <c r="A11" s="17" t="s">
        <v>83</v>
      </c>
      <c r="B11" s="18" t="s">
        <v>7</v>
      </c>
      <c r="C11" s="18" t="s">
        <v>84</v>
      </c>
      <c r="D11" s="18" t="s">
        <v>71</v>
      </c>
      <c r="E11" s="18" t="s">
        <v>85</v>
      </c>
      <c r="F11" s="18" t="s">
        <v>86</v>
      </c>
      <c r="G11" s="18" t="s">
        <v>87</v>
      </c>
      <c r="H11" s="20" t="s">
        <v>53</v>
      </c>
      <c r="I11" s="19" t="s">
        <v>20</v>
      </c>
      <c r="J11" s="18"/>
    </row>
    <row r="12" customFormat="false" ht="15" hidden="false" customHeight="false" outlineLevel="0" collapsed="false">
      <c r="A12" s="13" t="s">
        <v>88</v>
      </c>
      <c r="B12" s="14" t="s">
        <v>7</v>
      </c>
      <c r="C12" s="14" t="s">
        <v>89</v>
      </c>
      <c r="D12" s="14" t="s">
        <v>90</v>
      </c>
      <c r="E12" s="14" t="s">
        <v>91</v>
      </c>
      <c r="F12" s="14" t="s">
        <v>92</v>
      </c>
      <c r="G12" s="14" t="s">
        <v>93</v>
      </c>
      <c r="H12" s="15" t="s">
        <v>40</v>
      </c>
      <c r="I12" s="16" t="s">
        <v>20</v>
      </c>
      <c r="J12" s="14"/>
    </row>
    <row r="13" customFormat="false" ht="23.85" hidden="false" customHeight="false" outlineLevel="0" collapsed="false">
      <c r="A13" s="17" t="s">
        <v>94</v>
      </c>
      <c r="B13" s="18" t="s">
        <v>9</v>
      </c>
      <c r="C13" s="18" t="s">
        <v>95</v>
      </c>
      <c r="D13" s="18" t="s">
        <v>96</v>
      </c>
      <c r="E13" s="18" t="s">
        <v>97</v>
      </c>
      <c r="F13" s="18" t="s">
        <v>98</v>
      </c>
      <c r="G13" s="18" t="s">
        <v>99</v>
      </c>
      <c r="H13" s="15" t="s">
        <v>40</v>
      </c>
      <c r="I13" s="19" t="s">
        <v>20</v>
      </c>
      <c r="J13" s="18"/>
    </row>
    <row r="14" customFormat="false" ht="23.85" hidden="false" customHeight="false" outlineLevel="0" collapsed="false">
      <c r="A14" s="13" t="s">
        <v>100</v>
      </c>
      <c r="B14" s="14" t="s">
        <v>9</v>
      </c>
      <c r="C14" s="14" t="s">
        <v>101</v>
      </c>
      <c r="D14" s="14" t="s">
        <v>96</v>
      </c>
      <c r="E14" s="14" t="s">
        <v>102</v>
      </c>
      <c r="F14" s="14" t="s">
        <v>98</v>
      </c>
      <c r="G14" s="14" t="s">
        <v>99</v>
      </c>
      <c r="H14" s="15" t="s">
        <v>40</v>
      </c>
      <c r="I14" s="16" t="s">
        <v>20</v>
      </c>
      <c r="J14" s="14"/>
    </row>
    <row r="15" customFormat="false" ht="15" hidden="false" customHeight="false" outlineLevel="0" collapsed="false">
      <c r="A15" s="17" t="s">
        <v>103</v>
      </c>
      <c r="B15" s="18" t="s">
        <v>9</v>
      </c>
      <c r="C15" s="18" t="s">
        <v>104</v>
      </c>
      <c r="D15" s="18" t="s">
        <v>105</v>
      </c>
      <c r="E15" s="18" t="s">
        <v>106</v>
      </c>
      <c r="F15" s="18" t="s">
        <v>107</v>
      </c>
      <c r="G15" s="18" t="s">
        <v>99</v>
      </c>
      <c r="H15" s="15" t="s">
        <v>40</v>
      </c>
      <c r="I15" s="19" t="s">
        <v>20</v>
      </c>
      <c r="J15" s="18"/>
    </row>
    <row r="16" customFormat="false" ht="15" hidden="false" customHeight="false" outlineLevel="0" collapsed="false">
      <c r="A16" s="13" t="s">
        <v>108</v>
      </c>
      <c r="B16" s="14" t="s">
        <v>9</v>
      </c>
      <c r="C16" s="14" t="s">
        <v>109</v>
      </c>
      <c r="D16" s="14" t="s">
        <v>110</v>
      </c>
      <c r="E16" s="14" t="s">
        <v>97</v>
      </c>
      <c r="F16" s="14" t="s">
        <v>111</v>
      </c>
      <c r="G16" s="14" t="s">
        <v>112</v>
      </c>
      <c r="H16" s="15" t="s">
        <v>40</v>
      </c>
      <c r="I16" s="16" t="s">
        <v>20</v>
      </c>
      <c r="J16" s="14"/>
    </row>
    <row r="17" customFormat="false" ht="15" hidden="false" customHeight="false" outlineLevel="0" collapsed="false">
      <c r="A17" s="17" t="s">
        <v>113</v>
      </c>
      <c r="B17" s="18" t="s">
        <v>9</v>
      </c>
      <c r="C17" s="18" t="s">
        <v>114</v>
      </c>
      <c r="D17" s="18" t="s">
        <v>105</v>
      </c>
      <c r="E17" s="18" t="s">
        <v>115</v>
      </c>
      <c r="F17" s="18" t="s">
        <v>107</v>
      </c>
      <c r="G17" s="18" t="s">
        <v>99</v>
      </c>
      <c r="H17" s="20" t="s">
        <v>53</v>
      </c>
      <c r="I17" s="19" t="s">
        <v>20</v>
      </c>
      <c r="J17" s="18"/>
    </row>
    <row r="18" customFormat="false" ht="23.85" hidden="false" customHeight="false" outlineLevel="0" collapsed="false">
      <c r="A18" s="13" t="s">
        <v>116</v>
      </c>
      <c r="B18" s="14" t="s">
        <v>11</v>
      </c>
      <c r="C18" s="14" t="s">
        <v>117</v>
      </c>
      <c r="D18" s="14" t="s">
        <v>96</v>
      </c>
      <c r="E18" s="14" t="s">
        <v>118</v>
      </c>
      <c r="F18" s="14" t="s">
        <v>119</v>
      </c>
      <c r="G18" s="14" t="s">
        <v>120</v>
      </c>
      <c r="H18" s="15" t="s">
        <v>40</v>
      </c>
      <c r="I18" s="16" t="s">
        <v>20</v>
      </c>
      <c r="J18" s="14"/>
    </row>
    <row r="19" customFormat="false" ht="15" hidden="false" customHeight="false" outlineLevel="0" collapsed="false">
      <c r="A19" s="17" t="s">
        <v>121</v>
      </c>
      <c r="B19" s="18" t="s">
        <v>11</v>
      </c>
      <c r="C19" s="18" t="s">
        <v>122</v>
      </c>
      <c r="D19" s="18" t="s">
        <v>96</v>
      </c>
      <c r="E19" s="18" t="s">
        <v>123</v>
      </c>
      <c r="F19" s="18" t="s">
        <v>124</v>
      </c>
      <c r="G19" s="18" t="s">
        <v>125</v>
      </c>
      <c r="H19" s="20" t="s">
        <v>53</v>
      </c>
      <c r="I19" s="19" t="s">
        <v>20</v>
      </c>
      <c r="J19" s="18"/>
    </row>
    <row r="20" customFormat="false" ht="15" hidden="false" customHeight="false" outlineLevel="0" collapsed="false">
      <c r="A20" s="13" t="s">
        <v>126</v>
      </c>
      <c r="B20" s="14" t="s">
        <v>11</v>
      </c>
      <c r="C20" s="14" t="s">
        <v>127</v>
      </c>
      <c r="D20" s="14" t="s">
        <v>96</v>
      </c>
      <c r="E20" s="14" t="s">
        <v>128</v>
      </c>
      <c r="F20" s="14" t="s">
        <v>129</v>
      </c>
      <c r="G20" s="14" t="s">
        <v>52</v>
      </c>
      <c r="H20" s="15" t="s">
        <v>40</v>
      </c>
      <c r="I20" s="16" t="s">
        <v>20</v>
      </c>
      <c r="J20" s="14"/>
    </row>
    <row r="21" customFormat="false" ht="15" hidden="false" customHeight="false" outlineLevel="0" collapsed="false">
      <c r="A21" s="17" t="s">
        <v>130</v>
      </c>
      <c r="B21" s="18" t="s">
        <v>11</v>
      </c>
      <c r="C21" s="18" t="s">
        <v>131</v>
      </c>
      <c r="D21" s="18" t="s">
        <v>96</v>
      </c>
      <c r="E21" s="18" t="s">
        <v>132</v>
      </c>
      <c r="F21" s="18" t="s">
        <v>133</v>
      </c>
      <c r="G21" s="18" t="s">
        <v>134</v>
      </c>
      <c r="H21" s="20" t="s">
        <v>53</v>
      </c>
      <c r="I21" s="19" t="s">
        <v>20</v>
      </c>
      <c r="J21" s="18"/>
    </row>
    <row r="22" customFormat="false" ht="15" hidden="false" customHeight="false" outlineLevel="0" collapsed="false">
      <c r="A22" s="13" t="s">
        <v>135</v>
      </c>
      <c r="B22" s="14" t="s">
        <v>11</v>
      </c>
      <c r="C22" s="14" t="s">
        <v>136</v>
      </c>
      <c r="D22" s="14" t="s">
        <v>49</v>
      </c>
      <c r="E22" s="14" t="s">
        <v>137</v>
      </c>
      <c r="F22" s="14" t="s">
        <v>49</v>
      </c>
      <c r="G22" s="14" t="s">
        <v>78</v>
      </c>
      <c r="H22" s="15" t="s">
        <v>40</v>
      </c>
      <c r="I22" s="16" t="s">
        <v>20</v>
      </c>
      <c r="J22" s="14"/>
    </row>
    <row r="23" customFormat="false" ht="15" hidden="false" customHeight="false" outlineLevel="0" collapsed="false">
      <c r="A23" s="17" t="s">
        <v>138</v>
      </c>
      <c r="B23" s="18" t="s">
        <v>11</v>
      </c>
      <c r="C23" s="18" t="s">
        <v>139</v>
      </c>
      <c r="D23" s="18" t="s">
        <v>140</v>
      </c>
      <c r="E23" s="18" t="s">
        <v>141</v>
      </c>
      <c r="F23" s="18" t="s">
        <v>98</v>
      </c>
      <c r="G23" s="18" t="s">
        <v>142</v>
      </c>
      <c r="H23" s="15" t="s">
        <v>40</v>
      </c>
      <c r="I23" s="19" t="s">
        <v>20</v>
      </c>
      <c r="J23" s="18"/>
    </row>
    <row r="24" customFormat="false" ht="15" hidden="false" customHeight="false" outlineLevel="0" collapsed="false">
      <c r="A24" s="13" t="s">
        <v>143</v>
      </c>
      <c r="B24" s="14" t="s">
        <v>11</v>
      </c>
      <c r="C24" s="14" t="s">
        <v>144</v>
      </c>
      <c r="D24" s="14" t="s">
        <v>145</v>
      </c>
      <c r="E24" s="14" t="s">
        <v>146</v>
      </c>
      <c r="F24" s="14" t="s">
        <v>147</v>
      </c>
      <c r="G24" s="14" t="s">
        <v>148</v>
      </c>
      <c r="H24" s="20" t="s">
        <v>53</v>
      </c>
      <c r="I24" s="16" t="s">
        <v>20</v>
      </c>
      <c r="J24" s="14"/>
    </row>
    <row r="25" customFormat="false" ht="15" hidden="false" customHeight="false" outlineLevel="0" collapsed="false">
      <c r="A25" s="17" t="s">
        <v>149</v>
      </c>
      <c r="B25" s="18" t="s">
        <v>11</v>
      </c>
      <c r="C25" s="18" t="s">
        <v>150</v>
      </c>
      <c r="D25" s="18" t="s">
        <v>151</v>
      </c>
      <c r="E25" s="18" t="s">
        <v>152</v>
      </c>
      <c r="F25" s="18" t="s">
        <v>153</v>
      </c>
      <c r="G25" s="18" t="s">
        <v>154</v>
      </c>
      <c r="H25" s="20" t="s">
        <v>53</v>
      </c>
      <c r="I25" s="19" t="s">
        <v>20</v>
      </c>
      <c r="J25" s="18"/>
    </row>
    <row r="26" customFormat="false" ht="15" hidden="false" customHeight="false" outlineLevel="0" collapsed="false">
      <c r="A26" s="13" t="s">
        <v>155</v>
      </c>
      <c r="B26" s="14" t="s">
        <v>11</v>
      </c>
      <c r="C26" s="14" t="s">
        <v>156</v>
      </c>
      <c r="D26" s="14" t="s">
        <v>157</v>
      </c>
      <c r="E26" s="14" t="s">
        <v>158</v>
      </c>
      <c r="F26" s="14" t="s">
        <v>159</v>
      </c>
      <c r="G26" s="14" t="s">
        <v>160</v>
      </c>
      <c r="H26" s="21" t="s">
        <v>161</v>
      </c>
      <c r="I26" s="16" t="s">
        <v>20</v>
      </c>
      <c r="J26" s="14"/>
    </row>
    <row r="27" customFormat="false" ht="15" hidden="false" customHeight="false" outlineLevel="0" collapsed="false">
      <c r="A27" s="17" t="s">
        <v>162</v>
      </c>
      <c r="B27" s="18" t="s">
        <v>11</v>
      </c>
      <c r="C27" s="18" t="s">
        <v>163</v>
      </c>
      <c r="D27" s="18" t="s">
        <v>164</v>
      </c>
      <c r="E27" s="18" t="s">
        <v>165</v>
      </c>
      <c r="F27" s="18" t="s">
        <v>166</v>
      </c>
      <c r="G27" s="18" t="s">
        <v>167</v>
      </c>
      <c r="H27" s="15" t="s">
        <v>40</v>
      </c>
      <c r="I27" s="19" t="s">
        <v>20</v>
      </c>
      <c r="J27" s="18"/>
    </row>
    <row r="28" customFormat="false" ht="15" hidden="false" customHeight="false" outlineLevel="0" collapsed="false">
      <c r="A28" s="13" t="s">
        <v>168</v>
      </c>
      <c r="B28" s="14" t="s">
        <v>11</v>
      </c>
      <c r="C28" s="14" t="s">
        <v>169</v>
      </c>
      <c r="D28" s="14" t="s">
        <v>49</v>
      </c>
      <c r="E28" s="14" t="s">
        <v>170</v>
      </c>
      <c r="F28" s="14" t="s">
        <v>171</v>
      </c>
      <c r="G28" s="14" t="s">
        <v>172</v>
      </c>
      <c r="H28" s="20" t="s">
        <v>53</v>
      </c>
      <c r="I28" s="16" t="s">
        <v>20</v>
      </c>
      <c r="J28" s="14"/>
    </row>
    <row r="29" customFormat="false" ht="15" hidden="false" customHeight="false" outlineLevel="0" collapsed="false">
      <c r="A29" s="17" t="s">
        <v>173</v>
      </c>
      <c r="B29" s="18" t="s">
        <v>11</v>
      </c>
      <c r="C29" s="18" t="s">
        <v>174</v>
      </c>
      <c r="D29" s="18" t="s">
        <v>164</v>
      </c>
      <c r="E29" s="18" t="s">
        <v>175</v>
      </c>
      <c r="F29" s="18" t="s">
        <v>166</v>
      </c>
      <c r="G29" s="18" t="s">
        <v>176</v>
      </c>
      <c r="H29" s="15" t="s">
        <v>40</v>
      </c>
      <c r="I29" s="19" t="s">
        <v>20</v>
      </c>
      <c r="J29" s="18"/>
    </row>
    <row r="30" customFormat="false" ht="23.85" hidden="false" customHeight="false" outlineLevel="0" collapsed="false">
      <c r="A30" s="13" t="s">
        <v>177</v>
      </c>
      <c r="B30" s="14" t="s">
        <v>11</v>
      </c>
      <c r="C30" s="14" t="s">
        <v>178</v>
      </c>
      <c r="D30" s="14" t="s">
        <v>179</v>
      </c>
      <c r="E30" s="14" t="s">
        <v>180</v>
      </c>
      <c r="F30" s="14" t="s">
        <v>98</v>
      </c>
      <c r="G30" s="14" t="s">
        <v>181</v>
      </c>
      <c r="H30" s="20" t="s">
        <v>53</v>
      </c>
      <c r="I30" s="16" t="s">
        <v>20</v>
      </c>
      <c r="J30" s="14"/>
    </row>
    <row r="31" customFormat="false" ht="23.85" hidden="false" customHeight="false" outlineLevel="0" collapsed="false">
      <c r="A31" s="17" t="s">
        <v>182</v>
      </c>
      <c r="B31" s="18" t="s">
        <v>11</v>
      </c>
      <c r="C31" s="18" t="s">
        <v>183</v>
      </c>
      <c r="D31" s="18" t="s">
        <v>184</v>
      </c>
      <c r="E31" s="18" t="s">
        <v>185</v>
      </c>
      <c r="F31" s="18" t="s">
        <v>166</v>
      </c>
      <c r="G31" s="18" t="s">
        <v>186</v>
      </c>
      <c r="H31" s="15" t="s">
        <v>40</v>
      </c>
      <c r="I31" s="19" t="s">
        <v>20</v>
      </c>
      <c r="J31" s="18"/>
    </row>
    <row r="32" customFormat="false" ht="15" hidden="false" customHeight="false" outlineLevel="0" collapsed="false">
      <c r="A32" s="13" t="s">
        <v>187</v>
      </c>
      <c r="B32" s="14" t="s">
        <v>11</v>
      </c>
      <c r="C32" s="14" t="s">
        <v>188</v>
      </c>
      <c r="D32" s="14" t="s">
        <v>189</v>
      </c>
      <c r="E32" s="14" t="s">
        <v>190</v>
      </c>
      <c r="F32" s="14" t="s">
        <v>166</v>
      </c>
      <c r="G32" s="14" t="s">
        <v>191</v>
      </c>
      <c r="H32" s="21" t="s">
        <v>161</v>
      </c>
      <c r="I32" s="16" t="s">
        <v>20</v>
      </c>
      <c r="J32" s="14"/>
    </row>
    <row r="33" customFormat="false" ht="15" hidden="false" customHeight="false" outlineLevel="0" collapsed="false">
      <c r="A33" s="17" t="s">
        <v>192</v>
      </c>
      <c r="B33" s="18" t="s">
        <v>13</v>
      </c>
      <c r="C33" s="18" t="s">
        <v>193</v>
      </c>
      <c r="D33" s="18" t="s">
        <v>194</v>
      </c>
      <c r="E33" s="18" t="s">
        <v>102</v>
      </c>
      <c r="F33" s="18" t="s">
        <v>107</v>
      </c>
      <c r="G33" s="18" t="s">
        <v>195</v>
      </c>
      <c r="H33" s="15" t="s">
        <v>40</v>
      </c>
      <c r="I33" s="19" t="s">
        <v>20</v>
      </c>
      <c r="J33" s="18"/>
    </row>
    <row r="34" customFormat="false" ht="15" hidden="false" customHeight="false" outlineLevel="0" collapsed="false">
      <c r="A34" s="13" t="s">
        <v>196</v>
      </c>
      <c r="B34" s="14" t="s">
        <v>13</v>
      </c>
      <c r="C34" s="14" t="s">
        <v>197</v>
      </c>
      <c r="D34" s="14" t="s">
        <v>198</v>
      </c>
      <c r="E34" s="14" t="s">
        <v>199</v>
      </c>
      <c r="F34" s="14" t="s">
        <v>200</v>
      </c>
      <c r="G34" s="14" t="s">
        <v>201</v>
      </c>
      <c r="H34" s="21" t="s">
        <v>161</v>
      </c>
      <c r="I34" s="16" t="s">
        <v>20</v>
      </c>
      <c r="J34" s="14"/>
    </row>
    <row r="35" customFormat="false" ht="23.85" hidden="false" customHeight="false" outlineLevel="0" collapsed="false">
      <c r="A35" s="17" t="s">
        <v>202</v>
      </c>
      <c r="B35" s="18" t="s">
        <v>13</v>
      </c>
      <c r="C35" s="18" t="s">
        <v>203</v>
      </c>
      <c r="D35" s="18" t="s">
        <v>204</v>
      </c>
      <c r="E35" s="18" t="s">
        <v>205</v>
      </c>
      <c r="F35" s="18" t="s">
        <v>206</v>
      </c>
      <c r="G35" s="18" t="s">
        <v>207</v>
      </c>
      <c r="H35" s="15" t="s">
        <v>40</v>
      </c>
      <c r="I35" s="19" t="s">
        <v>20</v>
      </c>
      <c r="J35" s="18"/>
    </row>
    <row r="36" customFormat="false" ht="15" hidden="false" customHeight="false" outlineLevel="0" collapsed="false">
      <c r="A36" s="13" t="s">
        <v>208</v>
      </c>
      <c r="B36" s="14" t="s">
        <v>13</v>
      </c>
      <c r="C36" s="14" t="s">
        <v>209</v>
      </c>
      <c r="D36" s="14" t="s">
        <v>210</v>
      </c>
      <c r="E36" s="14" t="s">
        <v>205</v>
      </c>
      <c r="F36" s="14" t="s">
        <v>211</v>
      </c>
      <c r="G36" s="14" t="s">
        <v>212</v>
      </c>
      <c r="H36" s="15" t="s">
        <v>40</v>
      </c>
      <c r="I36" s="16" t="s">
        <v>20</v>
      </c>
      <c r="J36" s="14"/>
    </row>
    <row r="37" customFormat="false" ht="15" hidden="false" customHeight="false" outlineLevel="0" collapsed="false">
      <c r="A37" s="17" t="s">
        <v>213</v>
      </c>
      <c r="B37" s="18" t="s">
        <v>13</v>
      </c>
      <c r="C37" s="18" t="s">
        <v>214</v>
      </c>
      <c r="D37" s="18" t="s">
        <v>215</v>
      </c>
      <c r="E37" s="18" t="s">
        <v>216</v>
      </c>
      <c r="F37" s="18" t="s">
        <v>217</v>
      </c>
      <c r="G37" s="18" t="s">
        <v>218</v>
      </c>
      <c r="H37" s="15" t="s">
        <v>40</v>
      </c>
      <c r="I37" s="19" t="s">
        <v>20</v>
      </c>
      <c r="J37" s="18"/>
    </row>
    <row r="38" customFormat="false" ht="23.85" hidden="false" customHeight="false" outlineLevel="0" collapsed="false">
      <c r="A38" s="13" t="s">
        <v>219</v>
      </c>
      <c r="B38" s="14" t="s">
        <v>13</v>
      </c>
      <c r="C38" s="14" t="s">
        <v>220</v>
      </c>
      <c r="D38" s="14" t="s">
        <v>215</v>
      </c>
      <c r="E38" s="14" t="s">
        <v>221</v>
      </c>
      <c r="F38" s="14" t="s">
        <v>222</v>
      </c>
      <c r="G38" s="14" t="s">
        <v>223</v>
      </c>
      <c r="H38" s="15" t="s">
        <v>40</v>
      </c>
      <c r="I38" s="16" t="s">
        <v>20</v>
      </c>
      <c r="J38" s="14"/>
    </row>
    <row r="39" customFormat="false" ht="23.85" hidden="false" customHeight="false" outlineLevel="0" collapsed="false">
      <c r="A39" s="17" t="s">
        <v>224</v>
      </c>
      <c r="B39" s="18" t="s">
        <v>13</v>
      </c>
      <c r="C39" s="18" t="s">
        <v>225</v>
      </c>
      <c r="D39" s="18" t="s">
        <v>226</v>
      </c>
      <c r="E39" s="18" t="s">
        <v>205</v>
      </c>
      <c r="F39" s="18" t="s">
        <v>227</v>
      </c>
      <c r="G39" s="18" t="s">
        <v>228</v>
      </c>
      <c r="H39" s="20" t="s">
        <v>53</v>
      </c>
      <c r="I39" s="19" t="s">
        <v>20</v>
      </c>
      <c r="J39" s="18"/>
    </row>
    <row r="40" customFormat="false" ht="15" hidden="false" customHeight="false" outlineLevel="0" collapsed="false">
      <c r="A40" s="13" t="s">
        <v>229</v>
      </c>
      <c r="B40" s="14" t="s">
        <v>13</v>
      </c>
      <c r="C40" s="14" t="s">
        <v>230</v>
      </c>
      <c r="D40" s="14" t="s">
        <v>96</v>
      </c>
      <c r="E40" s="14" t="s">
        <v>205</v>
      </c>
      <c r="F40" s="14" t="s">
        <v>98</v>
      </c>
      <c r="G40" s="14" t="s">
        <v>99</v>
      </c>
      <c r="H40" s="15" t="s">
        <v>40</v>
      </c>
      <c r="I40" s="16" t="s">
        <v>20</v>
      </c>
      <c r="J40" s="14"/>
    </row>
    <row r="41" customFormat="false" ht="23.85" hidden="false" customHeight="false" outlineLevel="0" collapsed="false">
      <c r="A41" s="17" t="s">
        <v>231</v>
      </c>
      <c r="B41" s="18" t="s">
        <v>13</v>
      </c>
      <c r="C41" s="18" t="s">
        <v>232</v>
      </c>
      <c r="D41" s="18" t="s">
        <v>194</v>
      </c>
      <c r="E41" s="18" t="s">
        <v>233</v>
      </c>
      <c r="F41" s="18" t="s">
        <v>107</v>
      </c>
      <c r="G41" s="18" t="s">
        <v>234</v>
      </c>
      <c r="H41" s="20" t="s">
        <v>53</v>
      </c>
      <c r="I41" s="19" t="s">
        <v>20</v>
      </c>
      <c r="J41" s="18"/>
    </row>
    <row r="42" customFormat="false" ht="23.85" hidden="false" customHeight="false" outlineLevel="0" collapsed="false">
      <c r="A42" s="13" t="s">
        <v>235</v>
      </c>
      <c r="B42" s="14" t="s">
        <v>13</v>
      </c>
      <c r="C42" s="14" t="s">
        <v>236</v>
      </c>
      <c r="D42" s="14" t="s">
        <v>237</v>
      </c>
      <c r="E42" s="14" t="s">
        <v>238</v>
      </c>
      <c r="F42" s="14" t="s">
        <v>166</v>
      </c>
      <c r="G42" s="14" t="s">
        <v>239</v>
      </c>
      <c r="H42" s="15" t="s">
        <v>40</v>
      </c>
      <c r="I42" s="16" t="s">
        <v>20</v>
      </c>
      <c r="J42" s="14"/>
    </row>
    <row r="43" customFormat="false" ht="15" hidden="false" customHeight="false" outlineLevel="0" collapsed="false">
      <c r="A43" s="17" t="s">
        <v>240</v>
      </c>
      <c r="B43" s="18" t="s">
        <v>14</v>
      </c>
      <c r="C43" s="18" t="s">
        <v>241</v>
      </c>
      <c r="D43" s="18" t="s">
        <v>164</v>
      </c>
      <c r="E43" s="18" t="s">
        <v>242</v>
      </c>
      <c r="F43" s="18" t="s">
        <v>243</v>
      </c>
      <c r="G43" s="18" t="s">
        <v>244</v>
      </c>
      <c r="H43" s="20" t="s">
        <v>53</v>
      </c>
      <c r="I43" s="19" t="s">
        <v>20</v>
      </c>
      <c r="J43" s="18"/>
    </row>
    <row r="44" customFormat="false" ht="15" hidden="false" customHeight="false" outlineLevel="0" collapsed="false">
      <c r="A44" s="13" t="s">
        <v>245</v>
      </c>
      <c r="B44" s="14" t="s">
        <v>14</v>
      </c>
      <c r="C44" s="14" t="s">
        <v>246</v>
      </c>
      <c r="D44" s="14" t="s">
        <v>247</v>
      </c>
      <c r="E44" s="14" t="s">
        <v>248</v>
      </c>
      <c r="F44" s="14" t="s">
        <v>166</v>
      </c>
      <c r="G44" s="14" t="s">
        <v>249</v>
      </c>
      <c r="H44" s="20" t="s">
        <v>53</v>
      </c>
      <c r="I44" s="16" t="s">
        <v>20</v>
      </c>
      <c r="J44" s="14"/>
    </row>
    <row r="45" customFormat="false" ht="15" hidden="false" customHeight="false" outlineLevel="0" collapsed="false">
      <c r="A45" s="17" t="s">
        <v>250</v>
      </c>
      <c r="B45" s="18" t="s">
        <v>14</v>
      </c>
      <c r="C45" s="18" t="s">
        <v>251</v>
      </c>
      <c r="D45" s="18" t="s">
        <v>164</v>
      </c>
      <c r="E45" s="18" t="s">
        <v>252</v>
      </c>
      <c r="F45" s="18" t="s">
        <v>253</v>
      </c>
      <c r="G45" s="18" t="s">
        <v>52</v>
      </c>
      <c r="H45" s="21" t="s">
        <v>161</v>
      </c>
      <c r="I45" s="19" t="s">
        <v>20</v>
      </c>
      <c r="J45" s="18"/>
    </row>
    <row r="46" customFormat="false" ht="15" hidden="false" customHeight="false" outlineLevel="0" collapsed="false">
      <c r="A46" s="13" t="s">
        <v>254</v>
      </c>
      <c r="B46" s="14" t="s">
        <v>14</v>
      </c>
      <c r="C46" s="14" t="s">
        <v>255</v>
      </c>
      <c r="D46" s="14" t="s">
        <v>49</v>
      </c>
      <c r="E46" s="14" t="s">
        <v>256</v>
      </c>
      <c r="F46" s="14" t="s">
        <v>49</v>
      </c>
      <c r="G46" s="14" t="s">
        <v>78</v>
      </c>
      <c r="H46" s="20" t="s">
        <v>53</v>
      </c>
      <c r="I46" s="16" t="s">
        <v>20</v>
      </c>
      <c r="J46" s="14"/>
    </row>
    <row r="47" customFormat="false" ht="15" hidden="false" customHeight="false" outlineLevel="0" collapsed="false">
      <c r="A47" s="17" t="s">
        <v>257</v>
      </c>
      <c r="B47" s="18" t="s">
        <v>15</v>
      </c>
      <c r="C47" s="18" t="s">
        <v>258</v>
      </c>
      <c r="D47" s="18" t="s">
        <v>110</v>
      </c>
      <c r="E47" s="18" t="s">
        <v>97</v>
      </c>
      <c r="F47" s="18" t="s">
        <v>111</v>
      </c>
      <c r="G47" s="18" t="s">
        <v>259</v>
      </c>
      <c r="H47" s="15" t="s">
        <v>40</v>
      </c>
      <c r="I47" s="19" t="s">
        <v>20</v>
      </c>
      <c r="J47" s="18"/>
    </row>
    <row r="48" customFormat="false" ht="15" hidden="false" customHeight="false" outlineLevel="0" collapsed="false">
      <c r="A48" s="13" t="s">
        <v>260</v>
      </c>
      <c r="B48" s="14" t="s">
        <v>15</v>
      </c>
      <c r="C48" s="14" t="s">
        <v>261</v>
      </c>
      <c r="D48" s="14" t="s">
        <v>262</v>
      </c>
      <c r="E48" s="14" t="s">
        <v>263</v>
      </c>
      <c r="F48" s="14" t="s">
        <v>264</v>
      </c>
      <c r="G48" s="14" t="s">
        <v>265</v>
      </c>
      <c r="H48" s="20" t="s">
        <v>53</v>
      </c>
      <c r="I48" s="16" t="s">
        <v>20</v>
      </c>
      <c r="J48" s="14"/>
    </row>
    <row r="49" customFormat="false" ht="15" hidden="false" customHeight="false" outlineLevel="0" collapsed="false">
      <c r="A49" s="17" t="s">
        <v>266</v>
      </c>
      <c r="B49" s="18" t="s">
        <v>15</v>
      </c>
      <c r="C49" s="18" t="s">
        <v>267</v>
      </c>
      <c r="D49" s="18" t="s">
        <v>268</v>
      </c>
      <c r="E49" s="18" t="s">
        <v>269</v>
      </c>
      <c r="F49" s="18" t="s">
        <v>270</v>
      </c>
      <c r="G49" s="18" t="s">
        <v>271</v>
      </c>
      <c r="H49" s="21" t="s">
        <v>161</v>
      </c>
      <c r="I49" s="19" t="s">
        <v>20</v>
      </c>
      <c r="J49" s="18"/>
    </row>
    <row r="50" customFormat="false" ht="15" hidden="false" customHeight="false" outlineLevel="0" collapsed="false">
      <c r="A50" s="13" t="s">
        <v>272</v>
      </c>
      <c r="B50" s="14" t="s">
        <v>15</v>
      </c>
      <c r="C50" s="14" t="s">
        <v>273</v>
      </c>
      <c r="D50" s="14" t="s">
        <v>274</v>
      </c>
      <c r="E50" s="14" t="s">
        <v>115</v>
      </c>
      <c r="F50" s="14" t="s">
        <v>275</v>
      </c>
      <c r="G50" s="14" t="s">
        <v>276</v>
      </c>
      <c r="H50" s="15" t="s">
        <v>40</v>
      </c>
      <c r="I50" s="16" t="s">
        <v>20</v>
      </c>
      <c r="J50" s="14"/>
    </row>
    <row r="51" customFormat="false" ht="15" hidden="false" customHeight="false" outlineLevel="0" collapsed="false">
      <c r="A51" s="17" t="s">
        <v>277</v>
      </c>
      <c r="B51" s="18" t="s">
        <v>15</v>
      </c>
      <c r="C51" s="18" t="s">
        <v>278</v>
      </c>
      <c r="D51" s="18" t="s">
        <v>274</v>
      </c>
      <c r="E51" s="18" t="s">
        <v>115</v>
      </c>
      <c r="F51" s="18" t="s">
        <v>279</v>
      </c>
      <c r="G51" s="18" t="s">
        <v>52</v>
      </c>
      <c r="H51" s="20" t="s">
        <v>53</v>
      </c>
      <c r="I51" s="19" t="s">
        <v>20</v>
      </c>
      <c r="J51" s="18"/>
    </row>
    <row r="52" customFormat="false" ht="23.85" hidden="false" customHeight="false" outlineLevel="0" collapsed="false">
      <c r="A52" s="13" t="s">
        <v>280</v>
      </c>
      <c r="B52" s="14" t="s">
        <v>15</v>
      </c>
      <c r="C52" s="14" t="s">
        <v>281</v>
      </c>
      <c r="D52" s="14" t="s">
        <v>268</v>
      </c>
      <c r="E52" s="14" t="s">
        <v>282</v>
      </c>
      <c r="F52" s="14" t="s">
        <v>111</v>
      </c>
      <c r="G52" s="14" t="s">
        <v>283</v>
      </c>
      <c r="H52" s="20" t="s">
        <v>53</v>
      </c>
      <c r="I52" s="16" t="s">
        <v>20</v>
      </c>
      <c r="J52" s="14"/>
    </row>
    <row r="53" customFormat="false" ht="15" hidden="false" customHeight="false" outlineLevel="0" collapsed="false">
      <c r="A53" s="17" t="s">
        <v>284</v>
      </c>
      <c r="B53" s="18" t="s">
        <v>17</v>
      </c>
      <c r="C53" s="18" t="s">
        <v>285</v>
      </c>
      <c r="D53" s="18" t="s">
        <v>286</v>
      </c>
      <c r="E53" s="18" t="s">
        <v>106</v>
      </c>
      <c r="F53" s="18" t="s">
        <v>111</v>
      </c>
      <c r="G53" s="18" t="s">
        <v>287</v>
      </c>
      <c r="H53" s="15" t="s">
        <v>40</v>
      </c>
      <c r="I53" s="19" t="s">
        <v>20</v>
      </c>
      <c r="J53" s="18"/>
    </row>
    <row r="54" customFormat="false" ht="15" hidden="false" customHeight="false" outlineLevel="0" collapsed="false">
      <c r="A54" s="13" t="s">
        <v>288</v>
      </c>
      <c r="B54" s="14" t="s">
        <v>17</v>
      </c>
      <c r="C54" s="14" t="s">
        <v>289</v>
      </c>
      <c r="D54" s="14" t="s">
        <v>290</v>
      </c>
      <c r="E54" s="14" t="s">
        <v>291</v>
      </c>
      <c r="F54" s="14" t="s">
        <v>292</v>
      </c>
      <c r="G54" s="14" t="s">
        <v>293</v>
      </c>
      <c r="H54" s="15" t="s">
        <v>40</v>
      </c>
      <c r="I54" s="16" t="s">
        <v>20</v>
      </c>
      <c r="J54" s="14"/>
    </row>
    <row r="55" customFormat="false" ht="15" hidden="false" customHeight="false" outlineLevel="0" collapsed="false">
      <c r="A55" s="17" t="s">
        <v>294</v>
      </c>
      <c r="B55" s="18" t="s">
        <v>17</v>
      </c>
      <c r="C55" s="18" t="s">
        <v>295</v>
      </c>
      <c r="D55" s="18" t="s">
        <v>296</v>
      </c>
      <c r="E55" s="18" t="s">
        <v>297</v>
      </c>
      <c r="F55" s="18" t="s">
        <v>111</v>
      </c>
      <c r="G55" s="18" t="s">
        <v>298</v>
      </c>
      <c r="H55" s="20" t="s">
        <v>53</v>
      </c>
      <c r="I55" s="19" t="s">
        <v>20</v>
      </c>
      <c r="J55" s="18"/>
    </row>
    <row r="56" customFormat="false" ht="15" hidden="false" customHeight="false" outlineLevel="0" collapsed="false">
      <c r="A56" s="13" t="s">
        <v>299</v>
      </c>
      <c r="B56" s="14" t="s">
        <v>17</v>
      </c>
      <c r="C56" s="14" t="s">
        <v>300</v>
      </c>
      <c r="D56" s="14" t="s">
        <v>301</v>
      </c>
      <c r="E56" s="14" t="s">
        <v>106</v>
      </c>
      <c r="F56" s="14" t="s">
        <v>98</v>
      </c>
      <c r="G56" s="14" t="s">
        <v>99</v>
      </c>
      <c r="H56" s="15" t="s">
        <v>40</v>
      </c>
      <c r="I56" s="16" t="s">
        <v>20</v>
      </c>
      <c r="J56" s="14"/>
    </row>
    <row r="57" customFormat="false" ht="23.85" hidden="false" customHeight="false" outlineLevel="0" collapsed="false">
      <c r="A57" s="17" t="s">
        <v>302</v>
      </c>
      <c r="B57" s="18" t="s">
        <v>17</v>
      </c>
      <c r="C57" s="18" t="s">
        <v>303</v>
      </c>
      <c r="D57" s="18" t="s">
        <v>198</v>
      </c>
      <c r="E57" s="18" t="s">
        <v>304</v>
      </c>
      <c r="F57" s="18" t="s">
        <v>111</v>
      </c>
      <c r="G57" s="18" t="s">
        <v>305</v>
      </c>
      <c r="H57" s="20" t="s">
        <v>53</v>
      </c>
      <c r="I57" s="19" t="s">
        <v>20</v>
      </c>
      <c r="J57" s="18"/>
    </row>
    <row r="58" customFormat="false" ht="35.05" hidden="false" customHeight="false" outlineLevel="0" collapsed="false">
      <c r="A58" s="13" t="s">
        <v>306</v>
      </c>
      <c r="B58" s="14" t="s">
        <v>19</v>
      </c>
      <c r="C58" s="14" t="s">
        <v>307</v>
      </c>
      <c r="D58" s="14"/>
      <c r="E58" s="14" t="s">
        <v>308</v>
      </c>
      <c r="F58" s="14"/>
      <c r="G58" s="14" t="s">
        <v>309</v>
      </c>
      <c r="H58" s="15" t="s">
        <v>40</v>
      </c>
      <c r="I58" s="16" t="s">
        <v>20</v>
      </c>
      <c r="J58" s="14"/>
    </row>
    <row r="59" customFormat="false" ht="23.85" hidden="false" customHeight="false" outlineLevel="0" collapsed="false">
      <c r="A59" s="17" t="s">
        <v>310</v>
      </c>
      <c r="B59" s="18" t="s">
        <v>19</v>
      </c>
      <c r="C59" s="18" t="s">
        <v>311</v>
      </c>
      <c r="D59" s="18"/>
      <c r="E59" s="18" t="s">
        <v>312</v>
      </c>
      <c r="F59" s="18"/>
      <c r="G59" s="18" t="s">
        <v>313</v>
      </c>
      <c r="H59" s="15" t="s">
        <v>40</v>
      </c>
      <c r="I59" s="19" t="s">
        <v>20</v>
      </c>
      <c r="J59" s="18"/>
    </row>
    <row r="60" customFormat="false" ht="23.85" hidden="false" customHeight="false" outlineLevel="0" collapsed="false">
      <c r="A60" s="13" t="s">
        <v>314</v>
      </c>
      <c r="B60" s="14" t="s">
        <v>19</v>
      </c>
      <c r="C60" s="14" t="s">
        <v>315</v>
      </c>
      <c r="D60" s="14"/>
      <c r="E60" s="14" t="s">
        <v>316</v>
      </c>
      <c r="F60" s="14"/>
      <c r="G60" s="14" t="s">
        <v>317</v>
      </c>
      <c r="H60" s="15" t="s">
        <v>40</v>
      </c>
      <c r="I60" s="16" t="s">
        <v>20</v>
      </c>
      <c r="J60" s="14"/>
    </row>
    <row r="61" customFormat="false" ht="23.85" hidden="false" customHeight="false" outlineLevel="0" collapsed="false">
      <c r="A61" s="17" t="s">
        <v>318</v>
      </c>
      <c r="B61" s="18" t="s">
        <v>19</v>
      </c>
      <c r="C61" s="18" t="s">
        <v>319</v>
      </c>
      <c r="D61" s="18"/>
      <c r="E61" s="18" t="s">
        <v>320</v>
      </c>
      <c r="F61" s="18"/>
      <c r="G61" s="18" t="s">
        <v>321</v>
      </c>
      <c r="H61" s="20" t="s">
        <v>53</v>
      </c>
      <c r="I61" s="19" t="s">
        <v>20</v>
      </c>
      <c r="J61" s="18"/>
    </row>
    <row r="62" customFormat="false" ht="23.85" hidden="false" customHeight="false" outlineLevel="0" collapsed="false">
      <c r="A62" s="13" t="s">
        <v>322</v>
      </c>
      <c r="B62" s="14" t="s">
        <v>19</v>
      </c>
      <c r="C62" s="14" t="s">
        <v>323</v>
      </c>
      <c r="D62" s="14"/>
      <c r="E62" s="14" t="s">
        <v>324</v>
      </c>
      <c r="F62" s="14"/>
      <c r="G62" s="14" t="s">
        <v>325</v>
      </c>
      <c r="H62" s="15" t="s">
        <v>40</v>
      </c>
      <c r="I62" s="16" t="s">
        <v>20</v>
      </c>
      <c r="J62" s="14"/>
    </row>
    <row r="63" customFormat="false" ht="15" hidden="false" customHeight="false" outlineLevel="0" collapsed="false">
      <c r="A63" s="17" t="s">
        <v>326</v>
      </c>
      <c r="B63" s="18" t="s">
        <v>21</v>
      </c>
      <c r="C63" s="18" t="s">
        <v>327</v>
      </c>
      <c r="D63" s="18"/>
      <c r="E63" s="18" t="s">
        <v>328</v>
      </c>
      <c r="F63" s="18"/>
      <c r="G63" s="18" t="s">
        <v>329</v>
      </c>
      <c r="H63" s="21" t="s">
        <v>161</v>
      </c>
      <c r="I63" s="19" t="s">
        <v>20</v>
      </c>
      <c r="J63" s="18"/>
    </row>
    <row r="64" customFormat="false" ht="15" hidden="false" customHeight="false" outlineLevel="0" collapsed="false">
      <c r="A64" s="13" t="s">
        <v>330</v>
      </c>
      <c r="B64" s="14" t="s">
        <v>21</v>
      </c>
      <c r="C64" s="14" t="s">
        <v>331</v>
      </c>
      <c r="D64" s="14"/>
      <c r="E64" s="14" t="s">
        <v>332</v>
      </c>
      <c r="F64" s="14"/>
      <c r="G64" s="14" t="s">
        <v>333</v>
      </c>
      <c r="H64" s="20" t="s">
        <v>53</v>
      </c>
      <c r="I64" s="16" t="s">
        <v>20</v>
      </c>
      <c r="J64" s="14"/>
    </row>
    <row r="65" customFormat="false" ht="15" hidden="false" customHeight="false" outlineLevel="0" collapsed="false">
      <c r="A65" s="17" t="s">
        <v>334</v>
      </c>
      <c r="B65" s="18" t="s">
        <v>21</v>
      </c>
      <c r="C65" s="18" t="s">
        <v>335</v>
      </c>
      <c r="D65" s="18"/>
      <c r="E65" s="18" t="s">
        <v>336</v>
      </c>
      <c r="F65" s="18"/>
      <c r="G65" s="18" t="s">
        <v>337</v>
      </c>
      <c r="H65" s="15" t="s">
        <v>40</v>
      </c>
      <c r="I65" s="19" t="s">
        <v>20</v>
      </c>
      <c r="J65" s="18"/>
    </row>
    <row r="66" customFormat="false" ht="23.85" hidden="false" customHeight="false" outlineLevel="0" collapsed="false">
      <c r="A66" s="13" t="s">
        <v>338</v>
      </c>
      <c r="B66" s="14" t="s">
        <v>21</v>
      </c>
      <c r="C66" s="14" t="s">
        <v>339</v>
      </c>
      <c r="D66" s="14"/>
      <c r="E66" s="14" t="s">
        <v>340</v>
      </c>
      <c r="F66" s="14"/>
      <c r="G66" s="14" t="s">
        <v>341</v>
      </c>
      <c r="H66" s="21" t="s">
        <v>161</v>
      </c>
      <c r="I66" s="16" t="s">
        <v>20</v>
      </c>
      <c r="J66" s="14"/>
    </row>
    <row r="67" customFormat="false" ht="15" hidden="false" customHeight="false" outlineLevel="0" collapsed="false">
      <c r="A67" s="17" t="s">
        <v>342</v>
      </c>
      <c r="B67" s="18" t="s">
        <v>21</v>
      </c>
      <c r="C67" s="18" t="s">
        <v>343</v>
      </c>
      <c r="D67" s="18"/>
      <c r="E67" s="18" t="s">
        <v>344</v>
      </c>
      <c r="F67" s="18"/>
      <c r="G67" s="18" t="s">
        <v>78</v>
      </c>
      <c r="H67" s="20" t="s">
        <v>53</v>
      </c>
      <c r="I67" s="19" t="s">
        <v>20</v>
      </c>
      <c r="J67" s="18"/>
    </row>
  </sheetData>
  <autoFilter ref="A1:J67"/>
  <dataValidations count="1">
    <dataValidation allowBlank="true" errorStyle="stop" operator="between" showDropDown="false" showErrorMessage="false" showInputMessage="false" sqref="I2:I67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2026-06-15T03:31:37Z</dcterms:created>
  <dc:creator>openpyxl</dc:creator>
  <dc:description/>
  <dc:language>en-US</dc:language>
  <cp:lastModifiedBy/>
  <dcterms:modified xsi:type="dcterms:W3CDTF">2026-06-15T03:31:37Z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